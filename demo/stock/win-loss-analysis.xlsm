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joe\gest\static-gest\demo\stock\"/>
    </mc:Choice>
  </mc:AlternateContent>
  <bookViews>
    <workbookView xWindow="0" yWindow="0" windowWidth="13215" windowHeight="852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9" i="1" s="1"/>
  <c r="B18" i="1"/>
  <c r="B13" i="1"/>
  <c r="B12" i="1" l="1"/>
  <c r="B14" i="1" l="1"/>
  <c r="B24" i="1"/>
  <c r="B17" i="1"/>
  <c r="B19" i="1" s="1"/>
  <c r="B21" i="1" l="1"/>
  <c r="B26" i="1" s="1"/>
  <c r="B27" i="1" s="1"/>
  <c r="B28" i="1" s="1"/>
  <c r="B22" i="1"/>
  <c r="B23" i="1" l="1"/>
</calcChain>
</file>

<file path=xl/sharedStrings.xml><?xml version="1.0" encoding="utf-8"?>
<sst xmlns="http://schemas.openxmlformats.org/spreadsheetml/2006/main" count="25" uniqueCount="25">
  <si>
    <t>Num Trades</t>
  </si>
  <si>
    <t>trade size</t>
  </si>
  <si>
    <t>Num Win Trades</t>
  </si>
  <si>
    <t>Win Rise Perc</t>
  </si>
  <si>
    <t>Loss drop perc</t>
  </si>
  <si>
    <t xml:space="preserve">win precision </t>
  </si>
  <si>
    <t>Amount win per trade</t>
  </si>
  <si>
    <t>Total winnings</t>
  </si>
  <si>
    <t>Num Loose Trades</t>
  </si>
  <si>
    <t>Amount Lost per loose trade</t>
  </si>
  <si>
    <t>Total Loss from loose trade</t>
  </si>
  <si>
    <t>Net Profit / Loss from Trades</t>
  </si>
  <si>
    <t>Win Vs loss ratio</t>
  </si>
  <si>
    <t>Note:  Does not account for Excess Loss from Gap down Days</t>
  </si>
  <si>
    <t>Test Period Days</t>
  </si>
  <si>
    <t>Total Trades Identified</t>
  </si>
  <si>
    <t xml:space="preserve">Trades per year </t>
  </si>
  <si>
    <t>Profit % of Investment</t>
  </si>
  <si>
    <t>Total Days Money at risk</t>
  </si>
  <si>
    <t>Profit per day at risk</t>
  </si>
  <si>
    <t>Profit % per day at risk</t>
  </si>
  <si>
    <t>Anualized Return Adjusted for Risk</t>
  </si>
  <si>
    <t>Money could have been used for other purposes when not invested in this strategy.  Assumption is that you have several concurrent strategies.</t>
  </si>
  <si>
    <t xml:space="preserve">   Since money was only at risk when in a active trade we computed annulized return per day at risk * 365 if we have sufficient strategies to keep the money deployed 100% of the time. </t>
  </si>
  <si>
    <t>Worst Hold Time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</si>
</sst>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164" formatCode="&quot;$&quot;#,##0.00"/>
    <numFmt numFmtId="165" formatCode="0.0%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10" fontId="0" fillId="0" borderId="0" xfId="0" applyNumberFormat="1"/>
    <xf numFmtId="164" fontId="0" fillId="0" borderId="0" xfId="0" applyNumberFormat="1"/>
    <xf numFmtId="0" fontId="1" fillId="0" borderId="0" xfId="1"/>
    <xf numFmtId="0" fontId="2" fillId="0" borderId="0" xfId="0" applyFont="1" applyAlignment="1">
      <alignment wrapText="1"/>
    </xf>
    <xf numFmtId="0" fontId="3" fillId="0" borderId="0" xfId="0" applyFont="1"/>
    <xf numFmtId="10" fontId="3" fillId="0" borderId="0" xfId="0" applyNumberFormat="1" applyFont="1"/>
    <xf numFmtId="44" fontId="3" fillId="0" borderId="0" xfId="0" applyNumberFormat="1" applyFont="1"/>
    <xf numFmtId="165" fontId="3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=@int(B6/(B5/365)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0"/>
  <sheetViews>
    <sheetView tabSelected="1" workbookViewId="0">
      <selection activeCell="B7" sqref="B7"/>
    </sheetView>
  </sheetViews>
  <sheetFormatPr defaultRowHeight="15" x14ac:dyDescent="0.25"/>
  <cols>
    <col min="1" max="1" width="37.7109375" customWidth="1"/>
    <col min="2" max="2" width="11.5703125" bestFit="1" customWidth="1"/>
  </cols>
  <sheetData>
    <row r="1" spans="1:2" x14ac:dyDescent="0.25">
      <c r="A1" t="s">
        <v>5</v>
      </c>
      <c r="B1" s="8">
        <v>0.55559999999999998</v>
      </c>
    </row>
    <row r="2" spans="1:2" x14ac:dyDescent="0.25">
      <c r="A2" t="s">
        <v>3</v>
      </c>
      <c r="B2" s="6">
        <v>1.7000000000000001E-2</v>
      </c>
    </row>
    <row r="3" spans="1:2" x14ac:dyDescent="0.25">
      <c r="A3" t="s">
        <v>4</v>
      </c>
      <c r="B3" s="6">
        <v>1.2E-2</v>
      </c>
    </row>
    <row r="4" spans="1:2" x14ac:dyDescent="0.25">
      <c r="A4" t="s">
        <v>24</v>
      </c>
      <c r="B4" s="5">
        <v>2</v>
      </c>
    </row>
    <row r="5" spans="1:2" x14ac:dyDescent="0.25">
      <c r="A5" t="s">
        <v>14</v>
      </c>
      <c r="B5" s="5">
        <v>658</v>
      </c>
    </row>
    <row r="6" spans="1:2" x14ac:dyDescent="0.25">
      <c r="A6" t="s">
        <v>15</v>
      </c>
      <c r="B6" s="5">
        <v>45</v>
      </c>
    </row>
    <row r="7" spans="1:2" x14ac:dyDescent="0.25">
      <c r="A7" t="s">
        <v>16</v>
      </c>
      <c r="B7" s="3">
        <f>INT(B6/(B5/365))</f>
        <v>24</v>
      </c>
    </row>
    <row r="9" spans="1:2" x14ac:dyDescent="0.25">
      <c r="A9" t="s">
        <v>0</v>
      </c>
      <c r="B9">
        <f>B7</f>
        <v>24</v>
      </c>
    </row>
    <row r="10" spans="1:2" x14ac:dyDescent="0.25">
      <c r="A10" t="s">
        <v>1</v>
      </c>
      <c r="B10" s="7">
        <v>10000</v>
      </c>
    </row>
    <row r="12" spans="1:2" x14ac:dyDescent="0.25">
      <c r="A12" t="s">
        <v>2</v>
      </c>
      <c r="B12">
        <f>INT(B9*B1)</f>
        <v>13</v>
      </c>
    </row>
    <row r="13" spans="1:2" x14ac:dyDescent="0.25">
      <c r="A13" t="s">
        <v>6</v>
      </c>
      <c r="B13" s="2">
        <f>B10*B2</f>
        <v>170</v>
      </c>
    </row>
    <row r="14" spans="1:2" x14ac:dyDescent="0.25">
      <c r="A14" t="s">
        <v>7</v>
      </c>
      <c r="B14" s="2">
        <f>B13*B12</f>
        <v>2210</v>
      </c>
    </row>
    <row r="17" spans="1:2" x14ac:dyDescent="0.25">
      <c r="A17" t="s">
        <v>8</v>
      </c>
      <c r="B17">
        <f>B9-B12</f>
        <v>11</v>
      </c>
    </row>
    <row r="18" spans="1:2" x14ac:dyDescent="0.25">
      <c r="A18" t="s">
        <v>9</v>
      </c>
      <c r="B18" s="2">
        <f>B10*B3</f>
        <v>120</v>
      </c>
    </row>
    <row r="19" spans="1:2" x14ac:dyDescent="0.25">
      <c r="A19" t="s">
        <v>10</v>
      </c>
      <c r="B19" s="2">
        <f>B18*B17</f>
        <v>1320</v>
      </c>
    </row>
    <row r="21" spans="1:2" x14ac:dyDescent="0.25">
      <c r="A21" t="s">
        <v>11</v>
      </c>
      <c r="B21" s="2">
        <f>B14-B19</f>
        <v>890</v>
      </c>
    </row>
    <row r="22" spans="1:2" x14ac:dyDescent="0.25">
      <c r="A22" t="s">
        <v>12</v>
      </c>
      <c r="B22">
        <f>B14/B19</f>
        <v>1.6742424242424243</v>
      </c>
    </row>
    <row r="23" spans="1:2" x14ac:dyDescent="0.25">
      <c r="A23" t="s">
        <v>17</v>
      </c>
      <c r="B23" s="1">
        <f>B21/B10</f>
        <v>8.8999999999999996E-2</v>
      </c>
    </row>
    <row r="24" spans="1:2" x14ac:dyDescent="0.25">
      <c r="A24" t="s">
        <v>18</v>
      </c>
      <c r="B24">
        <f>B12*B4</f>
        <v>26</v>
      </c>
    </row>
    <row r="25" spans="1:2" ht="51.75" x14ac:dyDescent="0.25">
      <c r="A25" s="4" t="s">
        <v>22</v>
      </c>
    </row>
    <row r="26" spans="1:2" x14ac:dyDescent="0.25">
      <c r="A26" t="s">
        <v>19</v>
      </c>
      <c r="B26" s="2">
        <f>B21/B24</f>
        <v>34.230769230769234</v>
      </c>
    </row>
    <row r="27" spans="1:2" x14ac:dyDescent="0.25">
      <c r="A27" t="s">
        <v>20</v>
      </c>
      <c r="B27" s="1">
        <f>B26/B10</f>
        <v>3.4230769230769232E-3</v>
      </c>
    </row>
    <row r="28" spans="1:2" x14ac:dyDescent="0.25">
      <c r="A28" t="s">
        <v>21</v>
      </c>
      <c r="B28" s="1">
        <f>B27*365</f>
        <v>1.249423076923077</v>
      </c>
    </row>
    <row r="29" spans="1:2" ht="51.75" x14ac:dyDescent="0.25">
      <c r="A29" s="4" t="s">
        <v>23</v>
      </c>
    </row>
    <row r="30" spans="1:2" x14ac:dyDescent="0.25">
      <c r="A30" t="s">
        <v>13</v>
      </c>
    </row>
  </sheetData>
  <hyperlinks>
    <hyperlink ref="B7" r:id="rId1" display="=@int(B6/(B5/365))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jwork</dc:creator>
  <cp:lastModifiedBy>jwork</cp:lastModifiedBy>
  <dcterms:created xsi:type="dcterms:W3CDTF">2017-02-11T21:58:02Z</dcterms:created>
  <dcterms:modified xsi:type="dcterms:W3CDTF">2017-02-17T02:55:54Z</dcterms:modified>
</cp:coreProperties>
</file>